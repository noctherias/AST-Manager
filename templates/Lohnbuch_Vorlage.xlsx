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\Downloads\"/>
    </mc:Choice>
  </mc:AlternateContent>
  <xr:revisionPtr revIDLastSave="0" documentId="8_{720641B2-3872-427D-8546-288958F7C33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elle1" sheetId="1" r:id="rId1"/>
  </sheets>
  <calcPr calcId="191029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8" i="1" l="1"/>
  <c r="J48" i="1"/>
  <c r="C45" i="1"/>
  <c r="I43" i="1"/>
  <c r="H43" i="1"/>
  <c r="G43" i="1"/>
  <c r="F43" i="1"/>
  <c r="I42" i="1"/>
  <c r="H42" i="1"/>
  <c r="G42" i="1"/>
  <c r="F42" i="1"/>
  <c r="M36" i="1" l="1"/>
  <c r="M39" i="1"/>
  <c r="I48" i="1"/>
  <c r="G48" i="1"/>
  <c r="M31" i="1"/>
  <c r="M33" i="1"/>
  <c r="M35" i="1"/>
  <c r="M42" i="1"/>
  <c r="M37" i="1"/>
  <c r="M41" i="1"/>
  <c r="M43" i="1"/>
  <c r="M30" i="1"/>
  <c r="M34" i="1"/>
  <c r="M32" i="1"/>
  <c r="M38" i="1"/>
  <c r="M40" i="1"/>
  <c r="H48" i="1"/>
  <c r="F48" i="1"/>
  <c r="J21" i="1"/>
  <c r="M45" i="1" l="1"/>
  <c r="M48" i="1"/>
</calcChain>
</file>

<file path=xl/sharedStrings.xml><?xml version="1.0" encoding="utf-8"?>
<sst xmlns="http://schemas.openxmlformats.org/spreadsheetml/2006/main" count="34" uniqueCount="34">
  <si>
    <t>AHV</t>
  </si>
  <si>
    <t>ALV</t>
  </si>
  <si>
    <t>NBUV</t>
  </si>
  <si>
    <t>Abzüge</t>
  </si>
  <si>
    <t>Nettolohn</t>
  </si>
  <si>
    <t>Datum</t>
  </si>
  <si>
    <t>%-Anteil</t>
  </si>
  <si>
    <t>KTV</t>
  </si>
  <si>
    <t>BVG</t>
  </si>
  <si>
    <t xml:space="preserve">Bruttolohn </t>
  </si>
  <si>
    <t>Januar</t>
  </si>
  <si>
    <t>Februar</t>
  </si>
  <si>
    <t>März</t>
  </si>
  <si>
    <t>April</t>
  </si>
  <si>
    <t>Mai</t>
  </si>
  <si>
    <t>Juni</t>
  </si>
  <si>
    <t>August</t>
  </si>
  <si>
    <t>September</t>
  </si>
  <si>
    <t>Oktober</t>
  </si>
  <si>
    <t>Abrechnungsjahr</t>
  </si>
  <si>
    <t>AHV-Nr:</t>
  </si>
  <si>
    <t>Total Abzüge</t>
  </si>
  <si>
    <t xml:space="preserve">Total </t>
  </si>
  <si>
    <t>Geburtsdatum:</t>
  </si>
  <si>
    <t>November</t>
  </si>
  <si>
    <t/>
  </si>
  <si>
    <t xml:space="preserve">Tüscher  </t>
  </si>
  <si>
    <t>Dezember</t>
  </si>
  <si>
    <t>Juli</t>
  </si>
  <si>
    <t>PK</t>
  </si>
  <si>
    <t>13. Lohn</t>
  </si>
  <si>
    <t/>
  </si>
  <si>
    <t/>
  </si>
  <si>
    <t>Ab 01.01.2026 NBUV 1,67%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</si>
</sst>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CHF&quot;* #,##0.00_);_(&quot;CHF&quot;* \(#,##0.00\);_(&quot;CHF&quot;* &quot;-&quot;??_);_(@_)"/>
    <numFmt numFmtId="165" formatCode="_ [$CHF-807]\ * #,##0.00_ ;_ [$CHF-807]\ * \-#,##0.00_ ;_ [$CHF-807]\ * &quot;-&quot;??_ ;_ @_ "/>
    <numFmt numFmtId="166" formatCode="0.000%"/>
    <numFmt numFmtId="167" formatCode="&quot;CHF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b/>
      <u val="doubleAccounting"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9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0" fillId="0" borderId="0" xfId="1" applyNumberFormat="1" applyFont="1"/>
    <xf numFmtId="0" fontId="4" fillId="0" borderId="0" xfId="0" applyFont="1"/>
    <xf numFmtId="164" fontId="6" fillId="3" borderId="0" xfId="1" applyNumberFormat="1" applyFont="1" applyFill="1" applyBorder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1" applyNumberFormat="1" applyFont="1" applyFill="1" applyBorder="1" applyAlignment="1"/>
    <xf numFmtId="0" fontId="11" fillId="0" borderId="0" xfId="0" applyFont="1" applyAlignment="1">
      <alignment vertical="center"/>
    </xf>
    <xf numFmtId="164" fontId="13" fillId="3" borderId="0" xfId="1" applyNumberFormat="1" applyFont="1" applyFill="1" applyBorder="1" applyAlignment="1">
      <alignment horizontal="center" vertical="center"/>
    </xf>
    <xf numFmtId="165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165" fontId="15" fillId="3" borderId="0" xfId="0" applyNumberFormat="1" applyFont="1" applyFill="1" applyAlignment="1">
      <alignment horizontal="center" vertical="center"/>
    </xf>
    <xf numFmtId="165" fontId="6" fillId="5" borderId="12" xfId="1" applyNumberFormat="1" applyFont="1" applyFill="1" applyBorder="1" applyAlignment="1">
      <alignment horizontal="center" vertical="center"/>
    </xf>
    <xf numFmtId="165" fontId="6" fillId="5" borderId="12" xfId="0" applyNumberFormat="1" applyFont="1" applyFill="1" applyBorder="1" applyAlignment="1">
      <alignment horizontal="center" vertical="center"/>
    </xf>
    <xf numFmtId="165" fontId="6" fillId="4" borderId="2" xfId="0" applyNumberFormat="1" applyFont="1" applyFill="1" applyBorder="1"/>
    <xf numFmtId="165" fontId="6" fillId="4" borderId="15" xfId="0" applyNumberFormat="1" applyFont="1" applyFill="1" applyBorder="1"/>
    <xf numFmtId="165" fontId="6" fillId="4" borderId="7" xfId="0" applyNumberFormat="1" applyFont="1" applyFill="1" applyBorder="1"/>
    <xf numFmtId="165" fontId="6" fillId="4" borderId="16" xfId="0" applyNumberFormat="1" applyFont="1" applyFill="1" applyBorder="1"/>
    <xf numFmtId="0" fontId="7" fillId="2" borderId="12" xfId="0" applyFont="1" applyFill="1" applyBorder="1" applyAlignment="1">
      <alignment vertical="center"/>
    </xf>
    <xf numFmtId="166" fontId="7" fillId="2" borderId="12" xfId="0" applyNumberFormat="1" applyFont="1" applyFill="1" applyBorder="1" applyAlignment="1">
      <alignment vertical="center"/>
    </xf>
    <xf numFmtId="10" fontId="7" fillId="2" borderId="12" xfId="0" applyNumberFormat="1" applyFont="1" applyFill="1" applyBorder="1" applyAlignment="1">
      <alignment vertical="center"/>
    </xf>
    <xf numFmtId="166" fontId="7" fillId="2" borderId="12" xfId="0" applyNumberFormat="1" applyFont="1" applyFill="1" applyBorder="1" applyAlignment="1">
      <alignment horizontal="right" vertical="center"/>
    </xf>
    <xf numFmtId="10" fontId="8" fillId="2" borderId="12" xfId="0" applyNumberFormat="1" applyFont="1" applyFill="1" applyBorder="1"/>
    <xf numFmtId="0" fontId="0" fillId="4" borderId="12" xfId="1" applyNumberFormat="1" applyFont="1" applyFill="1" applyBorder="1" applyAlignment="1"/>
    <xf numFmtId="167" fontId="6" fillId="5" borderId="12" xfId="0" applyNumberFormat="1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18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17" fillId="0" borderId="0" xfId="0" applyFont="1"/>
    <xf numFmtId="10" fontId="19" fillId="2" borderId="12" xfId="0" applyNumberFormat="1" applyFont="1" applyFill="1" applyBorder="1" applyAlignment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65" fontId="3" fillId="6" borderId="1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165" fontId="6" fillId="7" borderId="12" xfId="0" applyNumberFormat="1" applyFont="1" applyFill="1" applyBorder="1"/>
    <xf numFmtId="165" fontId="5" fillId="3" borderId="0" xfId="0" applyNumberFormat="1" applyFont="1" applyFill="1" applyAlignment="1">
      <alignment horizontal="center" vertical="center"/>
    </xf>
    <xf numFmtId="165" fontId="14" fillId="5" borderId="18" xfId="1" applyNumberFormat="1" applyFont="1" applyFill="1" applyBorder="1" applyAlignment="1">
      <alignment horizontal="center" vertical="center"/>
    </xf>
    <xf numFmtId="165" fontId="14" fillId="5" borderId="13" xfId="1" applyNumberFormat="1" applyFont="1" applyFill="1" applyBorder="1" applyAlignment="1">
      <alignment horizontal="center" vertical="center"/>
    </xf>
    <xf numFmtId="167" fontId="14" fillId="5" borderId="18" xfId="0" applyNumberFormat="1" applyFont="1" applyFill="1" applyBorder="1" applyAlignment="1">
      <alignment horizontal="center" vertical="center"/>
    </xf>
    <xf numFmtId="167" fontId="14" fillId="5" borderId="13" xfId="0" applyNumberFormat="1" applyFont="1" applyFill="1" applyBorder="1" applyAlignment="1">
      <alignment horizontal="center" vertical="center"/>
    </xf>
    <xf numFmtId="165" fontId="15" fillId="5" borderId="14" xfId="0" applyNumberFormat="1" applyFont="1" applyFill="1" applyBorder="1" applyAlignment="1">
      <alignment horizontal="center" vertical="center"/>
    </xf>
    <xf numFmtId="165" fontId="15" fillId="5" borderId="3" xfId="0" applyNumberFormat="1" applyFont="1" applyFill="1" applyBorder="1" applyAlignment="1">
      <alignment horizontal="center" vertical="center"/>
    </xf>
    <xf numFmtId="165" fontId="15" fillId="5" borderId="17" xfId="0" applyNumberFormat="1" applyFont="1" applyFill="1" applyBorder="1" applyAlignment="1">
      <alignment horizontal="center" vertical="center"/>
    </xf>
    <xf numFmtId="165" fontId="15" fillId="5" borderId="8" xfId="0" applyNumberFormat="1" applyFont="1" applyFill="1" applyBorder="1" applyAlignment="1">
      <alignment horizontal="center" vertical="center"/>
    </xf>
    <xf numFmtId="165" fontId="14" fillId="5" borderId="18" xfId="0" applyNumberFormat="1" applyFont="1" applyFill="1" applyBorder="1" applyAlignment="1">
      <alignment horizontal="center" vertical="center"/>
    </xf>
    <xf numFmtId="165" fontId="14" fillId="5" borderId="13" xfId="0" applyNumberFormat="1" applyFont="1" applyFill="1" applyBorder="1" applyAlignment="1">
      <alignment horizontal="center" vertical="center"/>
    </xf>
    <xf numFmtId="165" fontId="3" fillId="5" borderId="18" xfId="0" applyNumberFormat="1" applyFont="1" applyFill="1" applyBorder="1" applyAlignment="1">
      <alignment horizontal="center" vertical="center"/>
    </xf>
    <xf numFmtId="165" fontId="3" fillId="5" borderId="13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3" borderId="0" xfId="0" applyFill="1"/>
    <xf numFmtId="0" fontId="13" fillId="3" borderId="12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165" fontId="15" fillId="6" borderId="14" xfId="0" applyNumberFormat="1" applyFont="1" applyFill="1" applyBorder="1" applyAlignment="1">
      <alignment horizontal="center" vertical="center"/>
    </xf>
    <xf numFmtId="165" fontId="15" fillId="6" borderId="3" xfId="0" applyNumberFormat="1" applyFont="1" applyFill="1" applyBorder="1" applyAlignment="1">
      <alignment horizontal="center" vertical="center"/>
    </xf>
    <xf numFmtId="165" fontId="15" fillId="6" borderId="17" xfId="0" applyNumberFormat="1" applyFont="1" applyFill="1" applyBorder="1" applyAlignment="1">
      <alignment horizontal="center" vertical="center"/>
    </xf>
    <xf numFmtId="165" fontId="15" fillId="6" borderId="8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165" fontId="6" fillId="5" borderId="14" xfId="0" applyNumberFormat="1" applyFont="1" applyFill="1" applyBorder="1" applyAlignment="1">
      <alignment horizontal="center"/>
    </xf>
    <xf numFmtId="165" fontId="6" fillId="5" borderId="2" xfId="0" applyNumberFormat="1" applyFont="1" applyFill="1" applyBorder="1" applyAlignment="1">
      <alignment horizontal="center"/>
    </xf>
    <xf numFmtId="165" fontId="6" fillId="5" borderId="15" xfId="0" applyNumberFormat="1" applyFont="1" applyFill="1" applyBorder="1" applyAlignment="1">
      <alignment horizontal="center"/>
    </xf>
    <xf numFmtId="165" fontId="6" fillId="5" borderId="17" xfId="0" applyNumberFormat="1" applyFont="1" applyFill="1" applyBorder="1" applyAlignment="1">
      <alignment horizontal="center"/>
    </xf>
    <xf numFmtId="165" fontId="6" fillId="5" borderId="7" xfId="0" applyNumberFormat="1" applyFont="1" applyFill="1" applyBorder="1" applyAlignment="1">
      <alignment horizontal="center"/>
    </xf>
    <xf numFmtId="165" fontId="6" fillId="5" borderId="16" xfId="0" applyNumberFormat="1" applyFont="1" applyFill="1" applyBorder="1" applyAlignment="1">
      <alignment horizontal="center"/>
    </xf>
    <xf numFmtId="165" fontId="0" fillId="3" borderId="0" xfId="0" applyNumberFormat="1" applyFill="1"/>
    <xf numFmtId="0" fontId="6" fillId="3" borderId="12" xfId="0" applyFont="1" applyFill="1" applyBorder="1" applyAlignment="1">
      <alignment horizontal="center"/>
    </xf>
    <xf numFmtId="165" fontId="15" fillId="7" borderId="14" xfId="0" applyNumberFormat="1" applyFont="1" applyFill="1" applyBorder="1" applyAlignment="1">
      <alignment horizontal="center" vertical="center"/>
    </xf>
    <xf numFmtId="165" fontId="15" fillId="7" borderId="15" xfId="0" applyNumberFormat="1" applyFont="1" applyFill="1" applyBorder="1" applyAlignment="1">
      <alignment horizontal="center" vertical="center"/>
    </xf>
    <xf numFmtId="165" fontId="15" fillId="7" borderId="17" xfId="0" applyNumberFormat="1" applyFont="1" applyFill="1" applyBorder="1" applyAlignment="1">
      <alignment horizontal="center" vertical="center"/>
    </xf>
    <xf numFmtId="165" fontId="15" fillId="7" borderId="16" xfId="0" applyNumberFormat="1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19049</xdr:rowOff>
    </xdr:from>
    <xdr:to>
      <xdr:col>6</xdr:col>
      <xdr:colOff>2240</xdr:colOff>
      <xdr:row>16</xdr:row>
      <xdr:rowOff>104215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69C27D08-5368-4D37-AF47-E5D8CAA2E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79" r="13279"/>
        <a:stretch/>
      </xdr:blipFill>
      <xdr:spPr>
        <a:xfrm>
          <a:off x="114300" y="19049"/>
          <a:ext cx="5004597" cy="33141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61"/>
  <sheetViews>
    <sheetView tabSelected="1" zoomScale="55" zoomScaleNormal="55" workbookViewId="0">
      <selection activeCell="R41" sqref="R41"/>
    </sheetView>
  </sheetViews>
  <sheetFormatPr baseColWidth="10" defaultColWidth="11.5703125" defaultRowHeight="15" x14ac:dyDescent="0.25"/>
  <cols>
    <col min="1" max="1" width="11.42578125" style="4" customWidth="1"/>
    <col min="2" max="2" width="11.42578125" customWidth="1"/>
    <col min="4" max="4" width="11.42578125" customWidth="1"/>
    <col min="5" max="5" width="11.140625" customWidth="1"/>
    <col min="6" max="6" width="19.85546875" customWidth="1"/>
    <col min="7" max="8" width="19.28515625" bestFit="1" customWidth="1"/>
    <col min="9" max="9" width="20.5703125" customWidth="1"/>
    <col min="10" max="10" width="19.28515625" bestFit="1" customWidth="1"/>
    <col min="11" max="11" width="17" bestFit="1" customWidth="1"/>
    <col min="12" max="12" width="17.85546875" bestFit="1" customWidth="1"/>
    <col min="14" max="14" width="12" customWidth="1"/>
  </cols>
  <sheetData>
    <row r="2" spans="10:14" ht="15.75" thickBot="1" x14ac:dyDescent="0.3"/>
    <row r="3" spans="10:14" x14ac:dyDescent="0.25">
      <c r="J3" s="32" t="s">
        <v>19</v>
      </c>
      <c r="K3" s="32"/>
      <c r="L3" s="32">
        <v>2026</v>
      </c>
      <c r="M3" s="32"/>
      <c r="N3" s="32"/>
    </row>
    <row r="4" spans="10:14" ht="15.75" thickBot="1" x14ac:dyDescent="0.3">
      <c r="J4" s="33"/>
      <c r="K4" s="33"/>
      <c r="L4" s="33"/>
      <c r="M4" s="33"/>
      <c r="N4" s="33"/>
    </row>
    <row r="6" spans="10:14" ht="15.75" thickBot="1" x14ac:dyDescent="0.3"/>
    <row r="7" spans="10:14" x14ac:dyDescent="0.25">
      <c r="J7" s="34" t="s">
        <v>20</v>
      </c>
      <c r="K7" s="35"/>
      <c r="L7" s="35"/>
      <c r="M7" s="35"/>
      <c r="N7" s="38"/>
    </row>
    <row r="8" spans="10:14" x14ac:dyDescent="0.25">
      <c r="J8" s="36"/>
      <c r="K8" s="37"/>
      <c r="L8" s="37"/>
      <c r="M8" s="37"/>
      <c r="N8" s="39"/>
    </row>
    <row r="9" spans="10:14" ht="18.75" customHeight="1" x14ac:dyDescent="0.25">
      <c r="J9" s="36" t="s">
        <v>23</v>
      </c>
      <c r="K9" s="37"/>
      <c r="L9" s="48"/>
      <c r="M9" s="37"/>
      <c r="N9" s="39"/>
    </row>
    <row r="10" spans="10:14" ht="18.75" customHeight="1" thickBot="1" x14ac:dyDescent="0.3">
      <c r="J10" s="46"/>
      <c r="K10" s="47"/>
      <c r="L10" s="47"/>
      <c r="M10" s="47"/>
      <c r="N10" s="49"/>
    </row>
    <row r="12" spans="10:14" ht="19.5" thickBot="1" x14ac:dyDescent="0.3">
      <c r="J12" s="9"/>
      <c r="K12" s="9"/>
      <c r="L12" s="9"/>
      <c r="M12" s="9"/>
      <c r="N12" s="9"/>
    </row>
    <row r="13" spans="10:14" x14ac:dyDescent="0.25">
      <c r="J13" s="40"/>
      <c r="K13" s="41"/>
      <c r="L13" s="41"/>
      <c r="M13" s="41"/>
      <c r="N13" s="42"/>
    </row>
    <row r="14" spans="10:14" x14ac:dyDescent="0.25">
      <c r="J14" s="43"/>
      <c r="K14" s="44"/>
      <c r="L14" s="44"/>
      <c r="M14" s="44"/>
      <c r="N14" s="45"/>
    </row>
    <row r="15" spans="10:14" x14ac:dyDescent="0.25">
      <c r="J15" s="43"/>
      <c r="K15" s="44"/>
      <c r="L15" s="44"/>
      <c r="M15" s="44"/>
      <c r="N15" s="45"/>
    </row>
    <row r="16" spans="10:14" x14ac:dyDescent="0.25">
      <c r="J16" s="43"/>
      <c r="K16" s="44"/>
      <c r="L16" s="44"/>
      <c r="M16" s="44"/>
      <c r="N16" s="45"/>
    </row>
    <row r="17" spans="1:14" x14ac:dyDescent="0.25">
      <c r="J17" s="43"/>
      <c r="K17" s="44"/>
      <c r="L17" s="44"/>
      <c r="M17" s="44"/>
      <c r="N17" s="45"/>
    </row>
    <row r="18" spans="1:14" ht="15.75" thickBot="1" x14ac:dyDescent="0.3">
      <c r="J18" s="50"/>
      <c r="K18" s="51"/>
      <c r="L18" s="51"/>
      <c r="M18" s="51"/>
      <c r="N18" s="52"/>
    </row>
    <row r="20" spans="1:14" ht="15.75" customHeight="1" thickBot="1" x14ac:dyDescent="0.3">
      <c r="J20" s="4"/>
    </row>
    <row r="21" spans="1:14" ht="15.75" customHeight="1" x14ac:dyDescent="0.25">
      <c r="G21" s="105"/>
      <c r="H21" s="105"/>
      <c r="J21" s="54" t="inlineStr">
        <is>
          <t xml:space="preserve">Aarburg, 12.10.2026</t>
        </is>
      </c>
      <c r="K21" s="55"/>
      <c r="L21" s="55"/>
      <c r="M21" s="55"/>
      <c r="N21" s="56"/>
    </row>
    <row r="22" spans="1:14" ht="15" customHeight="1" thickBot="1" x14ac:dyDescent="0.3">
      <c r="A22" s="2"/>
      <c r="B22" s="2"/>
      <c r="C22" s="1"/>
      <c r="D22" s="1"/>
      <c r="E22" s="1"/>
      <c r="G22" s="106" t="s">
        <v>33</v>
      </c>
      <c r="H22" s="106"/>
      <c r="J22" s="57"/>
      <c r="K22" s="58"/>
      <c r="L22" s="58"/>
      <c r="M22" s="58"/>
      <c r="N22" s="59"/>
    </row>
    <row r="23" spans="1:14" ht="15.75" customHeight="1" x14ac:dyDescent="0.25">
      <c r="A23" s="2"/>
      <c r="B23" s="2"/>
      <c r="C23" s="1"/>
      <c r="D23" s="1"/>
      <c r="E23" s="1"/>
      <c r="G23" s="28"/>
      <c r="H23" s="29"/>
    </row>
    <row r="24" spans="1:14" ht="15.75" thickBot="1" x14ac:dyDescent="0.3">
      <c r="G24" s="30"/>
    </row>
    <row r="25" spans="1:14" ht="21.75" thickBot="1" x14ac:dyDescent="0.3">
      <c r="A25" s="75" t="s">
        <v>5</v>
      </c>
      <c r="B25" s="75"/>
      <c r="C25" s="75" t="s">
        <v>9</v>
      </c>
      <c r="D25" s="75"/>
      <c r="E25" s="108"/>
      <c r="F25" s="75" t="s">
        <v>3</v>
      </c>
      <c r="G25" s="75"/>
      <c r="H25" s="75"/>
      <c r="I25" s="75"/>
      <c r="J25" s="75"/>
      <c r="K25" s="75"/>
      <c r="L25" s="75"/>
      <c r="M25" s="75" t="s">
        <v>4</v>
      </c>
      <c r="N25" s="75"/>
    </row>
    <row r="26" spans="1:14" ht="15" customHeight="1" thickBot="1" x14ac:dyDescent="0.3">
      <c r="A26" s="75"/>
      <c r="B26" s="75"/>
      <c r="C26" s="75"/>
      <c r="D26" s="75"/>
      <c r="E26" s="108"/>
      <c r="F26" s="107" t="s">
        <v>0</v>
      </c>
      <c r="G26" s="107" t="s">
        <v>1</v>
      </c>
      <c r="H26" s="107" t="s">
        <v>2</v>
      </c>
      <c r="I26" s="75" t="s">
        <v>7</v>
      </c>
      <c r="J26" s="75" t="s">
        <v>8</v>
      </c>
      <c r="K26" s="75" t="s">
        <v>29</v>
      </c>
      <c r="L26" s="75" t="inlineStr">
        <is>
          <t xml:space="preserve">Zulagen</t>
        </is>
      </c>
      <c r="M26" s="75"/>
      <c r="N26" s="75"/>
    </row>
    <row r="27" spans="1:14" ht="15" customHeight="1" thickBot="1" x14ac:dyDescent="0.3">
      <c r="A27" s="75"/>
      <c r="B27" s="75"/>
      <c r="C27" s="75"/>
      <c r="D27" s="75"/>
      <c r="E27" s="108"/>
      <c r="F27" s="107"/>
      <c r="G27" s="107"/>
      <c r="H27" s="107"/>
      <c r="I27" s="75"/>
      <c r="J27" s="75"/>
      <c r="K27" s="75"/>
      <c r="L27" s="75"/>
      <c r="M27" s="75"/>
      <c r="N27" s="75"/>
    </row>
    <row r="28" spans="1:14" ht="15.75" customHeight="1" thickBot="1" x14ac:dyDescent="0.3">
      <c r="A28" s="75"/>
      <c r="B28" s="75"/>
      <c r="C28" s="75"/>
      <c r="D28" s="75"/>
      <c r="E28" s="108"/>
      <c r="F28" s="107"/>
      <c r="G28" s="107"/>
      <c r="H28" s="107"/>
      <c r="I28" s="75"/>
      <c r="J28" s="75"/>
      <c r="K28" s="75"/>
      <c r="L28" s="75"/>
      <c r="M28" s="75"/>
      <c r="N28" s="75"/>
    </row>
    <row r="29" spans="1:14" ht="16.5" customHeight="1" thickBot="1" x14ac:dyDescent="0.3">
      <c r="A29" s="75"/>
      <c r="B29" s="75"/>
      <c r="C29" s="75"/>
      <c r="D29" s="75"/>
      <c r="E29" s="20" t="s">
        <v>6</v>
      </c>
      <c r="F29" s="21">
        <v>0.0</v>
      </c>
      <c r="G29" s="22">
        <v>0.0</v>
      </c>
      <c r="H29" s="31">
        <v>0.0</v>
      </c>
      <c r="I29" s="23">
        <v>0.0</v>
      </c>
      <c r="J29" s="24">
        <v>0.0</v>
      </c>
      <c r="K29" s="24">
        <v>0.0</v>
      </c>
      <c r="L29" s="24"/>
      <c r="M29" s="75"/>
      <c r="N29" s="75"/>
    </row>
    <row r="30" spans="1:14" ht="21.75" thickBot="1" x14ac:dyDescent="0.4">
      <c r="A30" s="60" t="s">
        <v>10</v>
      </c>
      <c r="B30" s="60"/>
      <c r="C30" s="61">
        <v>0.0</v>
      </c>
      <c r="D30" s="61"/>
      <c r="E30" s="25"/>
      <c r="F30" s="14">
        <f>ROUND(C30*0.00000000*2,0)/2</f>
        <v>0.0</v>
      </c>
      <c r="G30" s="14">
        <f>ROUND(C30*0.00000000*2,0)/2</f>
        <v>0.0</v>
      </c>
      <c r="H30" s="15">
        <f>ROUND(C30*0.00000000*2,0)/2</f>
        <v>0.0</v>
      </c>
      <c r="I30" s="15">
        <f>ROUND(C30*0.00000000*2,0)/2</f>
        <v>0.0</v>
      </c>
      <c r="J30" s="15">
        <f>ROUND(C30*0.00000000*2,0)/2</f>
        <v>0.0</v>
      </c>
      <c r="K30" s="15">
        <f>ROUND(C30*0.00000000*2,0)/2</f>
        <v>0.0</v>
      </c>
      <c r="L30" s="26">
        <v>0.0</v>
      </c>
      <c r="M30" s="53">
        <f>C30-SUM(F30:K30)+L30</f>
        <v>0.0</v>
      </c>
      <c r="N30" s="53"/>
    </row>
    <row r="31" spans="1:14" ht="21.75" thickBot="1" x14ac:dyDescent="0.4">
      <c r="A31" s="60" t="s">
        <v>11</v>
      </c>
      <c r="B31" s="60"/>
      <c r="C31" s="61">
        <v>0.0</v>
      </c>
      <c r="D31" s="61"/>
      <c r="E31" s="25"/>
      <c r="F31" s="14">
        <f>ROUND(C31*0.00000000*2,0)/2</f>
        <v>0.0</v>
      </c>
      <c r="G31" s="14">
        <f>ROUND(C31*0.00000000*2,0)/2</f>
        <v>0.0</v>
      </c>
      <c r="H31" s="15">
        <f>ROUND(C31*0.00000000*2,0)/2</f>
        <v>0.0</v>
      </c>
      <c r="I31" s="15">
        <f>ROUND(C31*0.00000000*2,0)/2</f>
        <v>0.0</v>
      </c>
      <c r="J31" s="15">
        <f>ROUND(C31*0.00000000*2,0)/2</f>
        <v>0.0</v>
      </c>
      <c r="K31" s="15">
        <f>ROUND(C31*0.00000000*2,0)/2</f>
        <v>0.0</v>
      </c>
      <c r="L31" s="26">
        <v>0.0</v>
      </c>
      <c r="M31" s="53">
        <f>C31-SUM(F31:K31)+L31</f>
        <v>0.0</v>
      </c>
      <c r="N31" s="53"/>
    </row>
    <row r="32" spans="1:14" ht="21.75" thickBot="1" x14ac:dyDescent="0.4">
      <c r="A32" s="60" t="s">
        <v>12</v>
      </c>
      <c r="B32" s="60"/>
      <c r="C32" s="61">
        <v>0.0</v>
      </c>
      <c r="D32" s="61"/>
      <c r="E32" s="25"/>
      <c r="F32" s="14">
        <f>ROUND(C32*0.00000000*2,0)/2</f>
        <v>0.0</v>
      </c>
      <c r="G32" s="14">
        <f>ROUND(C32*0.00000000*2,0)/2</f>
        <v>0.0</v>
      </c>
      <c r="H32" s="15">
        <f>ROUND(C32*0.00000000*2,0)/2</f>
        <v>0.0</v>
      </c>
      <c r="I32" s="15">
        <f>ROUND(C32*0.00000000*2,0)/2</f>
        <v>0.0</v>
      </c>
      <c r="J32" s="26">
        <f>ROUND(C32*0.00000000*2,0)/2</f>
        <v>0.0</v>
      </c>
      <c r="K32" s="15">
        <f>ROUND(C32*0.00000000*2,0)/2</f>
        <v>0.0</v>
      </c>
      <c r="L32" s="26">
        <v>0.0</v>
      </c>
      <c r="M32" s="53">
        <f>C32-SUM(F32:K32)+L32</f>
        <v>0.0</v>
      </c>
      <c r="N32" s="53"/>
    </row>
    <row r="33" spans="1:14" ht="21.75" thickBot="1" x14ac:dyDescent="0.4">
      <c r="A33" s="60" t="s">
        <v>13</v>
      </c>
      <c r="B33" s="60"/>
      <c r="C33" s="61">
        <v>0.0</v>
      </c>
      <c r="D33" s="61"/>
      <c r="E33" s="25"/>
      <c r="F33" s="14">
        <f>ROUND(C33*0.00000000*2,0)/2</f>
        <v>0.0</v>
      </c>
      <c r="G33" s="14">
        <f>ROUND(C33*0.00000000*2,0)/2</f>
        <v>0.0</v>
      </c>
      <c r="H33" s="15">
        <f>ROUND(C33*0.00000000*2,0)/2</f>
        <v>0.0</v>
      </c>
      <c r="I33" s="15">
        <f>ROUND(C33*0.00000000*2,0)/2</f>
        <v>0.0</v>
      </c>
      <c r="J33" s="26">
        <f>ROUND(C33*0.00000000*2,0)/2</f>
        <v>0.0</v>
      </c>
      <c r="K33" s="15">
        <f>ROUND(C33*0.00000000*2,0)/2</f>
        <v>0.0</v>
      </c>
      <c r="L33" s="26">
        <v>0.0</v>
      </c>
      <c r="M33" s="53">
        <f>C33-SUM(F33:K33)+L33</f>
        <v>0.0</v>
      </c>
      <c r="N33" s="53"/>
    </row>
    <row r="34" spans="1:14" ht="21.75" thickBot="1" x14ac:dyDescent="0.4">
      <c r="A34" s="60" t="s">
        <v>14</v>
      </c>
      <c r="B34" s="60"/>
      <c r="C34" s="61">
        <v>0.0</v>
      </c>
      <c r="D34" s="61"/>
      <c r="E34" s="25"/>
      <c r="F34" s="14">
        <f>ROUND(C34*0.00000000*2,0)/2</f>
        <v>0.0</v>
      </c>
      <c r="G34" s="14">
        <f>ROUND(C34*0.00000000*2,0)/2</f>
        <v>0.0</v>
      </c>
      <c r="H34" s="15">
        <f>ROUND(C34*0.00000000*2,0)/2</f>
        <v>0.0</v>
      </c>
      <c r="I34" s="15">
        <f>ROUND(C34*0.00000000*2,0)/2</f>
        <v>0.0</v>
      </c>
      <c r="J34" s="26">
        <f>ROUND(C34*0.00000000*2,0)/2</f>
        <v>0.0</v>
      </c>
      <c r="K34" s="15">
        <f>ROUND(C34*0.00000000*2,0)/2</f>
        <v>0.0</v>
      </c>
      <c r="L34" s="26">
        <v>0.0</v>
      </c>
      <c r="M34" s="53">
        <f>C34-SUM(F34:K34)+L34</f>
        <v>0.0</v>
      </c>
      <c r="N34" s="53"/>
    </row>
    <row r="35" spans="1:14" ht="21.75" thickBot="1" x14ac:dyDescent="0.4">
      <c r="A35" s="60" t="s">
        <v>15</v>
      </c>
      <c r="B35" s="60"/>
      <c r="C35" s="61">
        <v>0.0</v>
      </c>
      <c r="D35" s="61"/>
      <c r="E35" s="25"/>
      <c r="F35" s="14">
        <f>ROUND(C35*0.00000000*2,0)/2</f>
        <v>0.0</v>
      </c>
      <c r="G35" s="14">
        <f>ROUND(C35*0.00000000*2,0)/2</f>
        <v>0.0</v>
      </c>
      <c r="H35" s="15">
        <f>ROUND(C35*0.00000000*2,0)/2</f>
        <v>0.0</v>
      </c>
      <c r="I35" s="15">
        <f>ROUND(C35*0.00000000*2,0)/2</f>
        <v>0.0</v>
      </c>
      <c r="J35" s="26">
        <f>ROUND(C35*0.00000000*2,0)/2</f>
        <v>0.0</v>
      </c>
      <c r="K35" s="15">
        <f>ROUND(C35*0.00000000*2,0)/2</f>
        <v>0.0</v>
      </c>
      <c r="L35" s="26">
        <v>0.0</v>
      </c>
      <c r="M35" s="53">
        <f>C35-SUM(F35:K35)+L35</f>
        <v>0.0</v>
      </c>
      <c r="N35" s="53"/>
    </row>
    <row r="36" spans="1:14" ht="21.75" thickBot="1" x14ac:dyDescent="0.4">
      <c r="A36" s="60" t="s">
        <v>28</v>
      </c>
      <c r="B36" s="60"/>
      <c r="C36" s="61">
        <v>0.0</v>
      </c>
      <c r="D36" s="61"/>
      <c r="E36" s="25"/>
      <c r="F36" s="14">
        <f>ROUND(C36*0.00000000*2,0)/2</f>
        <v>0.0</v>
      </c>
      <c r="G36" s="14">
        <f>ROUND(C36*0.00000000*2,0)/2</f>
        <v>0.0</v>
      </c>
      <c r="H36" s="15">
        <f>ROUND(C36*0.00000000*2,0)/2</f>
        <v>0.0</v>
      </c>
      <c r="I36" s="15">
        <f>ROUND(C36*0.00000000*2,0)/2</f>
        <v>0.0</v>
      </c>
      <c r="J36" s="26">
        <f>ROUND(C36*0.00000000*2,0)/2</f>
        <v>0.0</v>
      </c>
      <c r="K36" s="15">
        <f>ROUND(C36*0.00000000*2,0)/2</f>
        <v>0.0</v>
      </c>
      <c r="L36" s="26">
        <v>0.0</v>
      </c>
      <c r="M36" s="53">
        <f>C36-SUM(F36:K36)+L36</f>
        <v>0.0</v>
      </c>
      <c r="N36" s="53"/>
    </row>
    <row r="37" spans="1:14" ht="21.75" thickBot="1" x14ac:dyDescent="0.4">
      <c r="A37" s="60" t="s">
        <v>16</v>
      </c>
      <c r="B37" s="60"/>
      <c r="C37" s="61">
        <v>0.0</v>
      </c>
      <c r="D37" s="61"/>
      <c r="E37" s="25"/>
      <c r="F37" s="14">
        <f>ROUND(C37*0.00000000*2,0)/2</f>
        <v>0.0</v>
      </c>
      <c r="G37" s="14">
        <f>ROUND(C37*0.00000000*2,0)/2</f>
        <v>0.0</v>
      </c>
      <c r="H37" s="15">
        <f>ROUND(C37*0.00000000*2,0)/2</f>
        <v>0.0</v>
      </c>
      <c r="I37" s="15">
        <f>ROUND(C37*0.00000000*2,0)/2</f>
        <v>0.0</v>
      </c>
      <c r="J37" s="26">
        <f>ROUND(C37*0.00000000*2,0)/2</f>
        <v>0.0</v>
      </c>
      <c r="K37" s="15">
        <f>ROUND(C37*0.00000000*2,0)/2</f>
        <v>0.0</v>
      </c>
      <c r="L37" s="26">
        <v>0.0</v>
      </c>
      <c r="M37" s="53">
        <f>C37-SUM(F37:K37)+L37</f>
        <v>0.0</v>
      </c>
      <c r="N37" s="53"/>
    </row>
    <row r="38" spans="1:14" ht="24" thickBot="1" x14ac:dyDescent="0.4">
      <c r="A38" s="103" t="s">
        <v>17</v>
      </c>
      <c r="B38" s="103"/>
      <c r="C38" s="61">
        <v>0.0</v>
      </c>
      <c r="D38" s="61"/>
      <c r="E38" s="25"/>
      <c r="F38" s="14">
        <f>ROUND(C38*0.00000000*2,0)/2</f>
        <v>0.0</v>
      </c>
      <c r="G38" s="14">
        <f>ROUND(C38*0.00000000*2,0)/2</f>
        <v>0.0</v>
      </c>
      <c r="H38" s="15">
        <f>ROUND(C38*0.00000000*2,0)/2</f>
        <v>0.0</v>
      </c>
      <c r="I38" s="15">
        <f>ROUND(C38*0.00000000*2,0)/2</f>
        <v>0.0</v>
      </c>
      <c r="J38" s="26">
        <f>ROUND(C38*0.00000000*2,0)/2</f>
        <v>0.0</v>
      </c>
      <c r="K38" s="15">
        <f>ROUND(C38*0.00000000*2,0)/2</f>
        <v>0.0</v>
      </c>
      <c r="L38" s="26">
        <v>0.0</v>
      </c>
      <c r="M38" s="53">
        <f>C38-SUM(F38:K38)+L38</f>
        <v>0.0</v>
      </c>
      <c r="N38" s="53"/>
    </row>
    <row r="39" spans="1:14" ht="21.75" thickBot="1" x14ac:dyDescent="0.4">
      <c r="A39" s="104" t="s">
        <v>18</v>
      </c>
      <c r="B39" s="104"/>
      <c r="C39" s="61">
        <v>0.0</v>
      </c>
      <c r="D39" s="61"/>
      <c r="E39" s="25"/>
      <c r="F39" s="14">
        <f>ROUND(C39*0.00000000*2,0)/2</f>
        <v>0.0</v>
      </c>
      <c r="G39" s="14">
        <f>ROUND(C39*0.00000000*2,0)/2</f>
        <v>0.0</v>
      </c>
      <c r="H39" s="15">
        <f>ROUND(C39*0.00000000*2,0)/2</f>
        <v>0.0</v>
      </c>
      <c r="I39" s="15">
        <f>ROUND(C39*0.00000000*2,0)/2</f>
        <v>0.0</v>
      </c>
      <c r="J39" s="26">
        <f>ROUND(C39*0.00000000*2,0)/2</f>
        <v>0.0</v>
      </c>
      <c r="K39" s="15">
        <f>ROUND(C39*0.00000000*2,0)/2</f>
        <v>0.0</v>
      </c>
      <c r="L39" s="26">
        <v>0.0</v>
      </c>
      <c r="M39" s="53">
        <f>C39-SUM(F39:K39)+L39</f>
        <v>0.0</v>
      </c>
      <c r="N39" s="53"/>
    </row>
    <row r="40" spans="1:14" ht="21.75" thickBot="1" x14ac:dyDescent="0.4">
      <c r="A40" s="60" t="s">
        <v>24</v>
      </c>
      <c r="B40" s="60"/>
      <c r="C40" s="61">
        <v>0.0</v>
      </c>
      <c r="D40" s="61"/>
      <c r="E40" s="25"/>
      <c r="F40" s="14">
        <f>ROUND(C40*0.00000000*2,0)/2</f>
        <v>0.0</v>
      </c>
      <c r="G40" s="14">
        <f>ROUND(C40*0.00000000*2,0)/2</f>
        <v>0.0</v>
      </c>
      <c r="H40" s="15">
        <f>ROUND(C40*0.00000000*2,0)/2</f>
        <v>0.0</v>
      </c>
      <c r="I40" s="15">
        <f>ROUND(C40*0.00000000*2,0)/2</f>
        <v>0.0</v>
      </c>
      <c r="J40" s="26">
        <f>ROUND(C40*0.00000000*2,0)/2</f>
        <v>0.0</v>
      </c>
      <c r="K40" s="15">
        <f>ROUND(C40*0.00000000*2,0)/2</f>
        <v>0.0</v>
      </c>
      <c r="L40" s="26">
        <v>0.0</v>
      </c>
      <c r="M40" s="53">
        <f>C40-SUM(F40:K40)+L40</f>
        <v>0.0</v>
      </c>
      <c r="N40" s="53"/>
    </row>
    <row r="41" spans="1:14" ht="21.75" thickBot="1" x14ac:dyDescent="0.4">
      <c r="A41" s="60" t="s">
        <v>27</v>
      </c>
      <c r="B41" s="60"/>
      <c r="C41" s="61">
        <v>0.0</v>
      </c>
      <c r="D41" s="61"/>
      <c r="E41" s="25"/>
      <c r="F41" s="14">
        <f>ROUND(C41*0.00000000*2,0)/2</f>
        <v>0.0</v>
      </c>
      <c r="G41" s="14">
        <f>ROUND(C41*0.00000000*2,0)/2</f>
        <v>0.0</v>
      </c>
      <c r="H41" s="15">
        <f>ROUND(C41*0.00000000*2,0)/2</f>
        <v>0.0</v>
      </c>
      <c r="I41" s="15">
        <f>ROUND(C41*0.00000000*2,0)/2</f>
        <v>0.0</v>
      </c>
      <c r="J41" s="26">
        <f>ROUND(C41*0.00000000*2,0)/2</f>
        <v>0.0</v>
      </c>
      <c r="K41" s="15">
        <f>ROUND(C41*0.00000000*2,0)/2</f>
        <v>0.0</v>
      </c>
      <c r="L41" s="26">
        <v>0.0</v>
      </c>
      <c r="M41" s="53">
        <f>C41-SUM(F41:K41)+L41</f>
        <v>0.0</v>
      </c>
      <c r="N41" s="53"/>
    </row>
    <row r="42" spans="1:14" ht="21.75" thickBot="1" x14ac:dyDescent="0.4">
      <c r="A42" s="98" t="s">
        <v>30</v>
      </c>
      <c r="B42" s="98"/>
      <c r="C42" s="61">
        <v>0.0</v>
      </c>
      <c r="D42" s="61"/>
      <c r="E42" s="25"/>
      <c r="F42" s="14">
        <f>ROUND(C42*0.00000000*2,0)/2</f>
        <v>0.0</v>
      </c>
      <c r="G42" s="14">
        <f>ROUND(C42*0.00000000*2,0)/2</f>
        <v>0.0</v>
      </c>
      <c r="H42" s="15">
        <f>ROUND(C42*0.00000000*2,0)/2</f>
        <v>0.0</v>
      </c>
      <c r="I42" s="15">
        <f>ROUND(C42*0.00000000*2,0)/2</f>
        <v>0.0</v>
      </c>
      <c r="J42" s="26">
        <f>ROUND(C42*0.00000000*2,0)/2</f>
        <v>0.0</v>
      </c>
      <c r="K42" s="15">
        <f>ROUND(C42*0.00000000*2,0)/2</f>
        <v>0.0</v>
      </c>
      <c r="L42" s="27">
        <v>0.0</v>
      </c>
      <c r="M42" s="53">
        <f>C42-SUM(F42:K42)+L42</f>
        <v>0.0</v>
      </c>
      <c r="N42" s="53"/>
    </row>
    <row r="43" spans="1:14" ht="21.75" thickBot="1" x14ac:dyDescent="0.4">
      <c r="A43" s="77"/>
      <c r="B43" s="77"/>
      <c r="C43" s="61"/>
      <c r="D43" s="61"/>
      <c r="E43" s="25"/>
      <c r="F43" s="14">
        <f>ROUND(C43*F29*2,1)/2</f>
        <v>0</v>
      </c>
      <c r="G43" s="14">
        <f>ROUND(C43*G29*2,1)/2</f>
        <v>0</v>
      </c>
      <c r="H43" s="15">
        <f>ROUND(C43*H29*2,1)/2</f>
        <v>0</v>
      </c>
      <c r="I43" s="15">
        <f>ROUND(C43*I29*2,1)/2</f>
        <v>0</v>
      </c>
      <c r="J43" s="15"/>
      <c r="K43" s="15"/>
      <c r="L43" s="27"/>
      <c r="M43" s="53">
        <f>C43-F43-G43-H43-I43-J43-K43+L43</f>
        <v>0</v>
      </c>
      <c r="N43" s="53"/>
    </row>
    <row r="44" spans="1:14" ht="15.75" thickBot="1" x14ac:dyDescent="0.3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</row>
    <row r="45" spans="1:14" ht="21" customHeight="1" x14ac:dyDescent="0.35">
      <c r="A45" s="83" t="s">
        <v>22</v>
      </c>
      <c r="B45" s="84"/>
      <c r="C45" s="99">
        <f>SUM(C30:C43)</f>
        <v>0.0</v>
      </c>
      <c r="D45" s="100"/>
      <c r="E45" s="16"/>
      <c r="F45" s="16">
        <f>SUM(F30:F43)</f>
        <v>0.0</v>
      </c>
      <c r="G45" s="16">
        <f>SUM(G30:G43)</f>
        <v>0.0</v>
      </c>
      <c r="H45" s="16">
        <f>SUM(H30:H43)</f>
        <v>0.0</v>
      </c>
      <c r="I45" s="16">
        <f>SUM(I30:I43)</f>
        <v>0.0</v>
      </c>
      <c r="J45" s="16">
        <f>SUM(J30:J43)</f>
        <v>0.0</v>
      </c>
      <c r="K45" s="16">
        <f>SUM(K30:K43)</f>
        <v>0.0</v>
      </c>
      <c r="L45" s="17">
        <f>SUM(L30:L43)</f>
        <v>0.0</v>
      </c>
      <c r="M45" s="79">
        <f>SUM(M30:M43)</f>
        <v>0.0</v>
      </c>
      <c r="N45" s="80"/>
    </row>
    <row r="46" spans="1:14" ht="21" customHeight="1" thickBot="1" x14ac:dyDescent="0.4">
      <c r="A46" s="85"/>
      <c r="B46" s="86"/>
      <c r="C46" s="101"/>
      <c r="D46" s="102"/>
      <c r="E46" s="18"/>
      <c r="F46" s="18"/>
      <c r="G46" s="18"/>
      <c r="H46" s="18"/>
      <c r="I46" s="18"/>
      <c r="J46" s="18"/>
      <c r="K46" s="18"/>
      <c r="L46" s="19"/>
      <c r="M46" s="81"/>
      <c r="N46" s="82"/>
    </row>
    <row r="47" spans="1:14" ht="21" customHeight="1" thickBot="1" x14ac:dyDescent="0.4">
      <c r="A47" s="12"/>
      <c r="B47" s="1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3"/>
      <c r="N47" s="13"/>
    </row>
    <row r="48" spans="1:14" ht="21" customHeight="1" x14ac:dyDescent="0.25">
      <c r="A48" s="87" t="s">
        <v>21</v>
      </c>
      <c r="B48" s="88"/>
      <c r="C48" s="91"/>
      <c r="D48" s="92"/>
      <c r="E48" s="93"/>
      <c r="F48" s="63">
        <f>SUM(F30:F43)</f>
        <v>0.0</v>
      </c>
      <c r="G48" s="71">
        <f>SUM(G30:G43)</f>
        <v>0.0</v>
      </c>
      <c r="H48" s="73">
        <f>SUM(H30:H43)</f>
        <v>0.0</v>
      </c>
      <c r="I48" s="73">
        <f>SUM(I30:I43)</f>
        <v>0.0</v>
      </c>
      <c r="J48" s="71">
        <f>SUM(J30:J43)</f>
        <v>0.0</v>
      </c>
      <c r="K48" s="73">
        <f>SUM(K30:K43)</f>
        <v>0.0</v>
      </c>
      <c r="L48" s="65"/>
      <c r="M48" s="67">
        <f>SUM(F48:K48)</f>
        <v>0.0</v>
      </c>
      <c r="N48" s="68"/>
    </row>
    <row r="49" spans="1:14" ht="15.75" customHeight="1" thickBot="1" x14ac:dyDescent="0.3">
      <c r="A49" s="89"/>
      <c r="B49" s="90"/>
      <c r="C49" s="94"/>
      <c r="D49" s="95"/>
      <c r="E49" s="96"/>
      <c r="F49" s="64"/>
      <c r="G49" s="72"/>
      <c r="H49" s="74"/>
      <c r="I49" s="74"/>
      <c r="J49" s="72"/>
      <c r="K49" s="74"/>
      <c r="L49" s="66"/>
      <c r="M49" s="69"/>
      <c r="N49" s="70"/>
    </row>
    <row r="50" spans="1:14" ht="21" x14ac:dyDescent="0.25">
      <c r="A50" s="76"/>
      <c r="B50" s="76"/>
      <c r="C50" s="97"/>
      <c r="D50" s="97"/>
      <c r="E50" s="8"/>
      <c r="F50" s="5"/>
      <c r="G50" s="6"/>
      <c r="H50" s="6"/>
      <c r="I50" s="6"/>
      <c r="J50" s="6"/>
      <c r="K50" s="6"/>
      <c r="L50" s="7"/>
      <c r="M50" s="62"/>
      <c r="N50" s="62"/>
    </row>
    <row r="51" spans="1:14" ht="21" x14ac:dyDescent="0.25">
      <c r="A51" s="76"/>
      <c r="B51" s="76"/>
      <c r="C51" s="97"/>
      <c r="D51" s="97"/>
      <c r="E51" s="8"/>
      <c r="F51" s="10"/>
      <c r="G51" s="6"/>
      <c r="H51" s="6"/>
      <c r="I51" s="6"/>
      <c r="J51" s="6"/>
      <c r="K51" s="6"/>
      <c r="L51" s="7"/>
      <c r="M51" s="62"/>
      <c r="N51" s="62"/>
    </row>
    <row r="52" spans="1:14" ht="21" x14ac:dyDescent="0.25">
      <c r="A52" s="76"/>
      <c r="B52" s="76"/>
      <c r="C52" s="97"/>
      <c r="D52" s="97"/>
      <c r="E52" s="8"/>
      <c r="F52" s="5"/>
      <c r="G52" s="6"/>
      <c r="H52" s="6"/>
      <c r="I52" s="6"/>
      <c r="J52" s="6"/>
      <c r="K52" s="6"/>
      <c r="L52" s="7"/>
      <c r="M52" s="62"/>
      <c r="N52" s="62"/>
    </row>
    <row r="53" spans="1:14" ht="21" x14ac:dyDescent="0.25">
      <c r="A53" s="76"/>
      <c r="B53" s="76"/>
      <c r="C53" s="97"/>
      <c r="D53" s="97"/>
      <c r="E53" s="8"/>
      <c r="F53" s="5"/>
      <c r="G53" s="6"/>
      <c r="H53" s="6"/>
      <c r="I53" s="6"/>
      <c r="J53" s="6"/>
      <c r="K53" s="6"/>
      <c r="L53" s="7"/>
      <c r="M53" s="62"/>
      <c r="N53" s="62"/>
    </row>
    <row r="61" spans="1:14" x14ac:dyDescent="0.25">
      <c r="E61" s="3"/>
    </row>
  </sheetData>
  <mergeCells count="92">
    <mergeCell ref="C30:D30"/>
    <mergeCell ref="M31:N31"/>
    <mergeCell ref="M38:N38"/>
    <mergeCell ref="M25:N29"/>
    <mergeCell ref="J26:J28"/>
    <mergeCell ref="K26:K28"/>
    <mergeCell ref="H26:H28"/>
    <mergeCell ref="I26:I28"/>
    <mergeCell ref="F25:L25"/>
    <mergeCell ref="L26:L28"/>
    <mergeCell ref="M35:N35"/>
    <mergeCell ref="M32:N32"/>
    <mergeCell ref="M33:N33"/>
    <mergeCell ref="M34:N34"/>
    <mergeCell ref="G26:G28"/>
    <mergeCell ref="C32:D32"/>
    <mergeCell ref="G21:H21"/>
    <mergeCell ref="G22:H22"/>
    <mergeCell ref="C25:D29"/>
    <mergeCell ref="F26:F28"/>
    <mergeCell ref="E25:E28"/>
    <mergeCell ref="C33:D33"/>
    <mergeCell ref="C34:D34"/>
    <mergeCell ref="C35:D35"/>
    <mergeCell ref="M37:N37"/>
    <mergeCell ref="A37:B37"/>
    <mergeCell ref="A38:B38"/>
    <mergeCell ref="A35:B35"/>
    <mergeCell ref="C39:D39"/>
    <mergeCell ref="A39:B39"/>
    <mergeCell ref="C38:D38"/>
    <mergeCell ref="C36:D36"/>
    <mergeCell ref="C37:D37"/>
    <mergeCell ref="C52:D52"/>
    <mergeCell ref="M53:N53"/>
    <mergeCell ref="C43:D43"/>
    <mergeCell ref="M39:N39"/>
    <mergeCell ref="A42:B42"/>
    <mergeCell ref="C40:D40"/>
    <mergeCell ref="C41:D41"/>
    <mergeCell ref="A40:B40"/>
    <mergeCell ref="A41:B41"/>
    <mergeCell ref="C45:D46"/>
    <mergeCell ref="C42:D42"/>
    <mergeCell ref="M51:N51"/>
    <mergeCell ref="M52:N52"/>
    <mergeCell ref="A25:B29"/>
    <mergeCell ref="A30:B30"/>
    <mergeCell ref="A31:B31"/>
    <mergeCell ref="A53:B53"/>
    <mergeCell ref="A43:B43"/>
    <mergeCell ref="A50:B50"/>
    <mergeCell ref="A52:B52"/>
    <mergeCell ref="A51:B51"/>
    <mergeCell ref="A44:N44"/>
    <mergeCell ref="M45:N46"/>
    <mergeCell ref="A45:B46"/>
    <mergeCell ref="A48:B49"/>
    <mergeCell ref="C48:E49"/>
    <mergeCell ref="C53:D53"/>
    <mergeCell ref="C50:D50"/>
    <mergeCell ref="C51:D51"/>
    <mergeCell ref="A32:B32"/>
    <mergeCell ref="A33:B33"/>
    <mergeCell ref="A34:B34"/>
    <mergeCell ref="C31:D31"/>
    <mergeCell ref="M50:N50"/>
    <mergeCell ref="M40:N40"/>
    <mergeCell ref="M41:N41"/>
    <mergeCell ref="F48:F49"/>
    <mergeCell ref="L48:L49"/>
    <mergeCell ref="M48:N49"/>
    <mergeCell ref="G48:G49"/>
    <mergeCell ref="H48:H49"/>
    <mergeCell ref="I48:I49"/>
    <mergeCell ref="J48:J49"/>
    <mergeCell ref="K48:K49"/>
    <mergeCell ref="A36:B36"/>
    <mergeCell ref="J15:N16"/>
    <mergeCell ref="J17:N18"/>
    <mergeCell ref="M42:N42"/>
    <mergeCell ref="M43:N43"/>
    <mergeCell ref="J21:N22"/>
    <mergeCell ref="M36:N36"/>
    <mergeCell ref="M30:N30"/>
    <mergeCell ref="J3:K4"/>
    <mergeCell ref="L3:N4"/>
    <mergeCell ref="J7:K8"/>
    <mergeCell ref="L7:N8"/>
    <mergeCell ref="J13:N14"/>
    <mergeCell ref="J9:K10"/>
    <mergeCell ref="L9:N10"/>
  </mergeCells>
  <pageMargins left="0.59055118110236227" right="0.39370078740157483" top="0.19685039370078741" bottom="0" header="0.31496062992125984" footer="0.31496062992125984"/>
  <pageSetup paperSize="9" scale="6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AST Manager</cp:lastModifiedBy>
  <cp:lastPrinted>2022-04-06T13:03:25Z</cp:lastPrinted>
  <dcterms:created xsi:type="dcterms:W3CDTF">2020-12-23T09:51:12Z</dcterms:created>
  <dcterms:modified xsi:type="dcterms:W3CDTF">2026-10-12T17:12:19Z</dcterms:modified>
</cp:coreProperties>
</file>